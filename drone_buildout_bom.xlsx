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7f3235a98c4d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435ad38c354f5c"/>
    <x:sheet xmlns:r="http://schemas.openxmlformats.org/officeDocument/2006/relationships" name="Small FPV" sheetId="2" r:id="R8bb2179f0dc34886"/>
    <x:sheet xmlns:r="http://schemas.openxmlformats.org/officeDocument/2006/relationships" name="Large SIYI" sheetId="3" r:id="R3e97b25a7e974d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"/>
    <x:numFmt numFmtId="201" formatCode="0"/>
    <x:numFmt numFmtId="202" formatCode="0.0"/>
    <x:numFmt numFmtId="203" formatCode="0.00 &quot;kg&quot;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201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left"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left"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3" fillId="4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2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horizontal="center" vertical="top" wrapText="1"/>
    </x:xf>
    <x:xf numFmtId="0" fontId="3" fillId="4" borderId="11" xfId="0" applyNumberFormat="1" applyFont="1" applyFill="1" applyBorder="1" applyAlignment="1">
      <x:alignment horizontal="center" vertical="top" wrapText="1"/>
    </x:xf>
    <x:xf numFmtId="0" fontId="3" fillId="4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202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DEDED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DED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49b99f51ac4cfb" /><Relationship Type="http://schemas.openxmlformats.org/officeDocument/2006/relationships/theme" Target="/xl/theme/theme1.xml" Id="R2a00da5fa3704dc6" /><Relationship Type="http://schemas.openxmlformats.org/officeDocument/2006/relationships/sharedStrings" Target="/xl/sharedStrings.xml" Id="Rb802d4f8db324698" /><Relationship Type="http://schemas.openxmlformats.org/officeDocument/2006/relationships/worksheet" Target="/xl/worksheets/sheet1.xml" Id="R01435ad38c354f5c" /><Relationship Type="http://schemas.openxmlformats.org/officeDocument/2006/relationships/worksheet" Target="/xl/worksheets/sheet2.xml" Id="R8bb2179f0dc34886" /><Relationship Type="http://schemas.openxmlformats.org/officeDocument/2006/relationships/worksheet" Target="/xl/worksheets/sheet3.xml" Id="R3e97b25a7e974d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fda43b224f64e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Estimated Total System Cost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System Cost</c:v>
          </c:tx>
          <c:cat>
            <c:strRef>
              <c:f>'Summary'!$A$4:$A$6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'Summary'!$C$4:$C$6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da43b224f64ef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7c8421fadc94dc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18" hidden="0" customWidth="1"/>
    <x:col min="4" max="4" width="18" hidden="0" customWidth="1"/>
    <x:col min="5" max="5" width="16" hidden="0" customWidth="1"/>
    <x:col min="6" max="6" width="22" hidden="0" customWidth="1"/>
    <x:col min="7" max="7" width="30" hidden="0" customWidth="1"/>
    <x:col min="8" max="8" width="48" hidden="0" customWidth="1"/>
  </x:cols>
  <x:sheetData>
    <x:row r="1">
      <x:c r="A1" s="5" t="str">
        <x:v>Drone Buildout Comparison</x:v>
      </x:c>
      <x:c r="B1" s="5"/>
      <x:c r="C1" s="5"/>
      <x:c r="D1" s="5"/>
      <x:c r="E1" s="5"/>
      <x:c r="F1" s="5"/>
      <x:c r="G1" s="5"/>
      <x:c r="H1" s="5"/>
    </x:row>
    <x:row r="3">
      <x:c r="A3" s="20" t="str">
        <x:v>Aircraft</x:v>
      </x:c>
      <x:c r="B3" s="20" t="str">
        <x:v>Primary Role</x:v>
      </x:c>
      <x:c r="C3" s="20" t="str">
        <x:v>Estimated System Cost</x:v>
      </x:c>
      <x:c r="D3" s="20" t="str">
        <x:v>Estimated Airborne Cost</x:v>
      </x:c>
      <x:c r="E3" s="20" t="str">
        <x:v>Estimated AUW</x:v>
      </x:c>
      <x:c r="F3" s="20" t="str">
        <x:v>Battery Target</x:v>
      </x:c>
      <x:c r="G3" s="20" t="str">
        <x:v>Primary Link</x:v>
      </x:c>
      <x:c r="H3" s="20" t="str">
        <x:v>Notes</x:v>
      </x:c>
    </x:row>
    <x:row r="4">
      <x:c r="A4" s="40" t="str">
        <x:v>Small FPV (5-inch baseline)</x:v>
      </x:c>
      <x:c r="B4" s="40" t="str">
        <x:v>Low-risk ArduPilot/MAVLink + FPV regression/test aircraft</x:v>
      </x:c>
      <x:c r="C4" s="41" t="n">
        <x:v>786.5</x:v>
      </x:c>
      <x:c r="D4" s="41" t="n">
        <x:v>516.5</x:v>
      </x:c>
      <x:c r="E4" s="84" t="n">
        <x:v>0.6132000000000001</x:v>
      </x:c>
      <x:c r="F4" s="40" t="str">
        <x:v>6S 1300 mAh</x:v>
      </x:c>
      <x:c r="G4" s="40" t="str">
        <x:v>Wi-Fi MAVLink + ELRS + 5.8GHz analog</x:v>
      </x:c>
      <x:c r="H4" s="40" t="str">
        <x:v>7-inch upgrade would improve space/endurance but increase AUW.</x:v>
      </x:c>
    </x:row>
    <x:row r="5">
      <x:c r="A5" s="40" t="str">
        <x:v>Large SIYI (base)</x:v>
      </x:c>
      <x:c r="B5" s="40" t="str">
        <x:v>Mission/inspection platform with zoom, AI tracking and MK32 control</x:v>
      </x:c>
      <x:c r="C5" s="41" t="n">
        <x:v>2920.47</x:v>
      </x:c>
      <x:c r="D5" s="41" t="n">
        <x:v>2920.47</x:v>
      </x:c>
      <x:c r="E5" s="84" t="n">
        <x:v>4.4653</x:v>
      </x:c>
      <x:c r="F5" s="40" t="str">
        <x:v>6S ~10 Ah (8–12 Ah range)</x:v>
      </x:c>
      <x:c r="G5" s="40" t="str">
        <x:v>SIYI MK32 digital link</x:v>
      </x:c>
      <x:c r="H5" s="40" t="str">
        <x:v>650 mm preferred; final propulsion selection should target &gt;=2:1 max-thrust-to-weight.</x:v>
      </x:c>
    </x:row>
    <x:row r="6">
      <x:c r="A6" s="40" t="str">
        <x:v>Large SIYI + Mid-360/companion</x:v>
      </x:c>
      <x:c r="B6" s="40" t="str">
        <x:v>3D sensing, SLAM, obstacle perception + DroneOps point-cloud integration</x:v>
      </x:c>
      <x:c r="C6" s="41" t="n">
        <x:v>4070.47</x:v>
      </x:c>
      <x:c r="D6" s="41" t="n">
        <x:v>4070.47</x:v>
      </x:c>
      <x:c r="E6" s="84" t="n">
        <x:v>5.0403</x:v>
      </x:c>
      <x:c r="F6" s="40" t="str">
        <x:v>6S ~10–16 Ah likely</x:v>
      </x:c>
      <x:c r="G6" s="40" t="str">
        <x:v>SIYI MK32 + onboard Ethernet</x:v>
      </x:c>
      <x:c r="H6" s="40" t="str">
        <x:v>Optional sensor package adds ~0.58 kg before any battery upsizing.</x:v>
      </x:c>
    </x:row>
    <x:row r="9">
      <x:c r="A9" s="29" t="str">
        <x:v>Key Planning Takeaways</x:v>
      </x:c>
      <x:c r="B9" s="29"/>
    </x:row>
    <x:row r="10">
      <x:c r="A10" s="86" t="str">
        <x:v>Small FPV</x:v>
      </x:c>
      <x:c r="B10" s="40" t="str">
        <x:v>Expected AUW is roughly 0.6–0.7 kg in 5-inch form. It is inexpensive to risk and ideal for repeated software-control testing.</x:v>
      </x:c>
    </x:row>
    <x:row r="11">
      <x:c r="A11" s="86" t="str">
        <x:v>Large SIYI</x:v>
      </x:c>
      <x:c r="B11" s="40" t="str">
        <x:v>ZR10 is a meaningful payload at 381 g. The 600–650 mm class gives better space, cooling, antenna separation and future sensor headroom.</x:v>
      </x:c>
    </x:row>
    <x:row r="12">
      <x:c r="A12" s="86" t="str">
        <x:v>Battery</x:v>
      </x:c>
      <x:c r="B12" s="40" t="str">
        <x:v>Do not lock the large-drone battery until motor/prop selection is finalized. 6S 10Ah is a sensible first design target, not a final answer.</x:v>
      </x:c>
    </x:row>
    <x:row r="13">
      <x:c r="A13" s="86" t="str">
        <x:v>LiDAR</x:v>
      </x:c>
      <x:c r="B13" s="40" t="str">
        <x:v>Mid-360 adds 265 g plus companion-compute/power/network hardware. Treat it as Phase 2 after the SIYI/Pixhawk aircraft flies reliably.</x:v>
      </x:c>
    </x:row>
    <x:row r="16">
      <x:c r="A16" s="12" t="str">
        <x:v>Estimates are planning values, not procurement quotes. Ground-only equipment (MK32 handheld, RC transmitter, goggles, gateway receiver/capture) is included in system cost but excluded from airborne weight. The large-aircraft propulsion set is intentionally preliminary because final motor/prop/battery selection should be validated against the actual all-up weight and manufacturer thrust tables.</x:v>
      </x:c>
      <x:c r="B16" s="12"/>
      <x:c r="C16" s="12"/>
      <x:c r="D16" s="12"/>
      <x:c r="E16" s="12"/>
      <x:c r="F16" s="12"/>
      <x:c r="G16" s="12"/>
      <x:c r="H16" s="12"/>
    </x:row>
    <x:row r="17">
      <x:c r="A17" s="12"/>
      <x:c r="B17" s="12"/>
      <x:c r="C17" s="12"/>
      <x:c r="D17" s="12"/>
      <x:c r="E17" s="12"/>
      <x:c r="F17" s="12"/>
      <x:c r="G17" s="12"/>
      <x:c r="H17" s="12"/>
    </x:row>
  </x:sheetData>
  <x:mergeCells>
    <x:mergeCell ref="A1:H1"/>
    <x:mergeCell ref="A9:B9"/>
    <x:mergeCell ref="A16:H17"/>
  </x:mergeCells>
  <x:pageMargins left="0.7" right="0.7" top="0.75" bottom="0.75" header="0.3" footer="0.3"/>
  <x:drawing xmlns:r="http://schemas.openxmlformats.org/officeDocument/2006/relationships" r:id="Rb7c8421fadc94dc6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7" hidden="0" customWidth="1"/>
    <x:col min="4" max="4" width="13" hidden="0" customWidth="1"/>
    <x:col min="5" max="5" width="14" hidden="0" customWidth="1"/>
    <x:col min="6" max="6" width="12" hidden="0" customWidth="1"/>
    <x:col min="7" max="7" width="14" hidden="0" customWidth="1"/>
    <x:col min="8" max="8" width="12" hidden="0" customWidth="1"/>
    <x:col min="9" max="9" width="10" hidden="0" customWidth="1"/>
    <x:col min="10" max="10" width="10" hidden="0" customWidth="1"/>
    <x:col min="11" max="11" width="36" hidden="0" customWidth="1"/>
    <x:col min="12" max="12" width="48" hidden="0" customWidth="1"/>
  </x:cols>
  <x:sheetData>
    <x:row r="1" ht="28" customHeight="1">
      <x:c r="A1" s="5" t="str">
        <x:v>Small FPV / DroneOps Test Aircraft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8" customHeight="1">
      <x:c r="A2" s="12" t="str">
        <x:v>Baseline is a 5-inch 6S ArduPilot aircraft. A 7-inch upgrade is shown as an alternative and is not included in baseline totals. Costs and weights are engineering estimates; verify exact vendor specs before final propulsion selection.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>
      <x:c r="A4" s="62" t="str">
        <x:v>Component</x:v>
      </x:c>
      <x:c r="B4" s="63" t="str">
        <x:v>Model / Example</x:v>
      </x:c>
      <x:c r="C4" s="63" t="str">
        <x:v>Qty</x:v>
      </x:c>
      <x:c r="D4" s="63" t="str">
        <x:v>Est. Unit Cost</x:v>
      </x:c>
      <x:c r="E4" s="63" t="str">
        <x:v>Est. Total Cost</x:v>
      </x:c>
      <x:c r="F4" s="63" t="str">
        <x:v>Unit Wt (g)</x:v>
      </x:c>
      <x:c r="G4" s="63" t="str">
        <x:v>Airborne Wt (g)</x:v>
      </x:c>
      <x:c r="H4" s="63" t="str">
        <x:v>Status</x:v>
      </x:c>
      <x:c r="I4" s="63" t="str">
        <x:v>Airborne?</x:v>
      </x:c>
      <x:c r="J4" s="63" t="str">
        <x:v>Include?</x:v>
      </x:c>
      <x:c r="K4" s="63" t="str">
        <x:v>Source</x:v>
      </x:c>
      <x:c r="L4" s="64" t="str">
        <x:v>Notes</x:v>
      </x:c>
    </x:row>
    <x:row r="5">
      <x:c r="A5" s="65" t="str">
        <x:v>Flight controller + 4-in-1 ESC</x:v>
      </x:c>
      <x:c r="B5" s="51" t="str">
        <x:v>AERO SELFIE H743 + 60A stack</x:v>
      </x:c>
      <x:c r="C5" s="51" t="n">
        <x:v>1</x:v>
      </x:c>
      <x:c r="D5" s="52" t="n">
        <x:v>90</x:v>
      </x:c>
      <x:c r="E5" s="52" t="n">
        <x:f>IF(J5="Yes",C5*D5,0)</x:f>
        <x:v>90</x:v>
      </x:c>
      <x:c r="F5" s="53" t="n">
        <x:v>23.2</x:v>
      </x:c>
      <x:c r="G5" s="53" t="n">
        <x:f>IF(AND(J5="Yes",I5="Yes"),C5*F5,0)</x:f>
        <x:v>23.2</x:v>
      </x:c>
      <x:c r="H5" s="51" t="str">
        <x:v>Purchased</x:v>
      </x:c>
      <x:c r="I5" s="51" t="str">
        <x:v>Yes</x:v>
      </x:c>
      <x:c r="J5" s="51" t="str">
        <x:v>Yes</x:v>
      </x:c>
      <x:c r="K5" s="51" t="str">
        <x:v>https://www.amazon.com/AERO-SELFIE-Flight-Controller-30x30/dp/B0F9PJFG3C</x:v>
      </x:c>
      <x:c r="L5" s="66" t="str">
        <x:v>Run ArduCopter. Cost is an estimate because exact purchase price was not provided.</x:v>
      </x:c>
    </x:row>
    <x:row r="6">
      <x:c r="A6" s="65" t="str">
        <x:v>Frame</x:v>
      </x:c>
      <x:c r="B6" s="51" t="str">
        <x:v>5-inch carbon FPV frame</x:v>
      </x:c>
      <x:c r="C6" s="51" t="n">
        <x:v>1</x:v>
      </x:c>
      <x:c r="D6" s="52" t="n">
        <x:v>55</x:v>
      </x:c>
      <x:c r="E6" s="52" t="n">
        <x:f>IF(J6="Yes",C6*D6,0)</x:f>
        <x:v>55</x:v>
      </x:c>
      <x:c r="F6" s="53" t="n">
        <x:v>120</x:v>
      </x:c>
      <x:c r="G6" s="53" t="n">
        <x:f>IF(AND(J6="Yes",I6="Yes"),C6*F6,0)</x:f>
        <x:v>120</x:v>
      </x:c>
      <x:c r="H6" s="51" t="str">
        <x:v>Planned</x:v>
      </x:c>
      <x:c r="I6" s="51" t="str">
        <x:v>Yes</x:v>
      </x:c>
      <x:c r="J6" s="51" t="str">
        <x:v>Yes</x:v>
      </x:c>
      <x:c r="K6" s="51" t="str">
        <x:v>https://www.racedayquads.com/collections/5-frames</x:v>
      </x:c>
      <x:c r="L6" s="66" t="str">
        <x:v>Baseline assumes 5-inch. A 7-inch version would typically add ~80-180 g and ~$30-70.</x:v>
      </x:c>
    </x:row>
    <x:row r="7">
      <x:c r="A7" s="65" t="str">
        <x:v>Motors</x:v>
      </x:c>
      <x:c r="B7" s="51" t="str">
        <x:v>2207 ~1750KV 6S motors</x:v>
      </x:c>
      <x:c r="C7" s="51" t="n">
        <x:v>4</x:v>
      </x:c>
      <x:c r="D7" s="52" t="n">
        <x:v>22</x:v>
      </x:c>
      <x:c r="E7" s="52" t="n">
        <x:f>IF(J7="Yes",C7*D7,0)</x:f>
        <x:v>88</x:v>
      </x:c>
      <x:c r="F7" s="53" t="n">
        <x:v>32</x:v>
      </x:c>
      <x:c r="G7" s="53" t="n">
        <x:f>IF(AND(J7="Yes",I7="Yes"),C7*F7,0)</x:f>
        <x:v>128</x:v>
      </x:c>
      <x:c r="H7" s="51" t="str">
        <x:v>Planned</x:v>
      </x:c>
      <x:c r="I7" s="51" t="str">
        <x:v>Yes</x:v>
      </x:c>
      <x:c r="J7" s="51" t="str">
        <x:v>Yes</x:v>
      </x:c>
      <x:c r="K7" s="51" t="str">
        <x:v>https://www.racedayquads.com/collections/all-motors</x:v>
      </x:c>
      <x:c r="L7" s="66" t="str">
        <x:v>Conventional 5-inch 6S propulsion target.</x:v>
      </x:c>
    </x:row>
    <x:row r="8">
      <x:c r="A8" s="65" t="str">
        <x:v>Propellers</x:v>
      </x:c>
      <x:c r="B8" s="51" t="str">
        <x:v>5-inch tri-blade props</x:v>
      </x:c>
      <x:c r="C8" s="51" t="n">
        <x:v>4</x:v>
      </x:c>
      <x:c r="D8" s="52" t="n">
        <x:v>1.25</x:v>
      </x:c>
      <x:c r="E8" s="52" t="n">
        <x:f>IF(J8="Yes",C8*D8,0)</x:f>
        <x:v>5</x:v>
      </x:c>
      <x:c r="F8" s="53" t="n">
        <x:v>5</x:v>
      </x:c>
      <x:c r="G8" s="53" t="n">
        <x:f>IF(AND(J8="Yes",I8="Yes"),C8*F8,0)</x:f>
        <x:v>20</x:v>
      </x:c>
      <x:c r="H8" s="51" t="str">
        <x:v>Planned</x:v>
      </x:c>
      <x:c r="I8" s="51" t="str">
        <x:v>Yes</x:v>
      </x:c>
      <x:c r="J8" s="51" t="str">
        <x:v>Yes</x:v>
      </x:c>
      <x:c r="K8" s="51" t="str">
        <x:v>https://www.racedayquads.com/collections/5-props</x:v>
      </x:c>
      <x:c r="L8" s="66" t="str">
        <x:v>Carry several spare sets.</x:v>
      </x:c>
    </x:row>
    <x:row r="9">
      <x:c r="A9" s="65" t="str">
        <x:v>GPS + compass</x:v>
      </x:c>
      <x:c r="B9" s="51" t="str">
        <x:v>M10 GNSS + compass</x:v>
      </x:c>
      <x:c r="C9" s="51" t="n">
        <x:v>1</x:v>
      </x:c>
      <x:c r="D9" s="52" t="n">
        <x:v>48</x:v>
      </x:c>
      <x:c r="E9" s="52" t="n">
        <x:f>IF(J9="Yes",C9*D9,0)</x:f>
        <x:v>48</x:v>
      </x:c>
      <x:c r="F9" s="53" t="n">
        <x:v>15</x:v>
      </x:c>
      <x:c r="G9" s="53" t="n">
        <x:f>IF(AND(J9="Yes",I9="Yes"),C9*F9,0)</x:f>
        <x:v>15</x:v>
      </x:c>
      <x:c r="H9" s="51" t="str">
        <x:v>Planned</x:v>
      </x:c>
      <x:c r="I9" s="51" t="str">
        <x:v>Yes</x:v>
      </x:c>
      <x:c r="J9" s="51" t="str">
        <x:v>Yes</x:v>
      </x:c>
      <x:c r="K9" s="51" t="str">
        <x:v>https://www.racedayquads.com/collections/gps</x:v>
      </x:c>
      <x:c r="L9" s="66" t="str">
        <x:v>Needed for position reporting, Guided mode and RTL.</x:v>
      </x:c>
    </x:row>
    <x:row r="10">
      <x:c r="A10" s="65" t="str">
        <x:v>MAVLink Wi-Fi bridge</x:v>
      </x:c>
      <x:c r="B10" s="51" t="str">
        <x:v>Seeed XIAO ESP32-C3 / DroneBridge</x:v>
      </x:c>
      <x:c r="C10" s="51" t="n">
        <x:v>1</x:v>
      </x:c>
      <x:c r="D10" s="52" t="n">
        <x:v>5</x:v>
      </x:c>
      <x:c r="E10" s="52" t="n">
        <x:f>IF(J10="Yes",C10*D10,0)</x:f>
        <x:v>5</x:v>
      </x:c>
      <x:c r="F10" s="53" t="n">
        <x:v>4</x:v>
      </x:c>
      <x:c r="G10" s="53" t="n">
        <x:f>IF(AND(J10="Yes",I10="Yes"),C10*F10,0)</x:f>
        <x:v>4</x:v>
      </x:c>
      <x:c r="H10" s="51" t="str">
        <x:v>Planned</x:v>
      </x:c>
      <x:c r="I10" s="51" t="str">
        <x:v>Yes</x:v>
      </x:c>
      <x:c r="J10" s="51" t="str">
        <x:v>Yes</x:v>
      </x:c>
      <x:c r="K10" s="51" t="str">
        <x:v>https://www.seeedstudio.com/Seeed-XIAO-ESP32C3-p-5431.html</x:v>
      </x:c>
      <x:c r="L10" s="66" t="str">
        <x:v>Short-range MAVLink transport to the gateway; roughly 50-100 m engineering target.</x:v>
      </x:c>
    </x:row>
    <x:row r="11">
      <x:c r="A11" s="65" t="str">
        <x:v>ELRS receiver</x:v>
      </x:c>
      <x:c r="B11" s="51" t="str">
        <x:v>RadioMaster RP1 V2 2.4GHz</x:v>
      </x:c>
      <x:c r="C11" s="51" t="n">
        <x:v>1</x:v>
      </x:c>
      <x:c r="D11" s="52" t="n">
        <x:v>25</x:v>
      </x:c>
      <x:c r="E11" s="52" t="n">
        <x:f>IF(J11="Yes",C11*D11,0)</x:f>
        <x:v>25</x:v>
      </x:c>
      <x:c r="F11" s="53" t="n">
        <x:v>3</x:v>
      </x:c>
      <x:c r="G11" s="53" t="n">
        <x:f>IF(AND(J11="Yes",I11="Yes"),C11*F11,0)</x:f>
        <x:v>3</x:v>
      </x:c>
      <x:c r="H11" s="51" t="str">
        <x:v>Planned</x:v>
      </x:c>
      <x:c r="I11" s="51" t="str">
        <x:v>Yes</x:v>
      </x:c>
      <x:c r="J11" s="51" t="str">
        <x:v>Yes</x:v>
      </x:c>
      <x:c r="K11" s="51" t="str">
        <x:v>https://www.racedayquads.com/products/radiomaster-rp1-v2-2-4ghz-elrs-nano-receiver</x:v>
      </x:c>
      <x:c r="L11" s="66" t="str">
        <x:v>Independent/manual backup flight-control path.</x:v>
      </x:c>
    </x:row>
    <x:row r="12">
      <x:c r="A12" s="65" t="str">
        <x:v>RC transmitter</x:v>
      </x:c>
      <x:c r="B12" s="51" t="str">
        <x:v>RadioMaster Pocket ELRS</x:v>
      </x:c>
      <x:c r="C12" s="51" t="n">
        <x:v>1</x:v>
      </x:c>
      <x:c r="D12" s="52" t="n">
        <x:v>85</x:v>
      </x:c>
      <x:c r="E12" s="52" t="n">
        <x:f>IF(J12="Yes",C12*D12,0)</x:f>
        <x:v>85</x:v>
      </x:c>
      <x:c r="F12" s="53" t="n">
        <x:v>0</x:v>
      </x:c>
      <x:c r="G12" s="53" t="n">
        <x:f>IF(AND(J12="Yes",I12="Yes"),C12*F12,0)</x:f>
        <x:v>0</x:v>
      </x:c>
      <x:c r="H12" s="51" t="str">
        <x:v>Planned</x:v>
      </x:c>
      <x:c r="I12" s="51" t="str">
        <x:v>No</x:v>
      </x:c>
      <x:c r="J12" s="51" t="str">
        <x:v>Yes</x:v>
      </x:c>
      <x:c r="K12" s="51" t="str">
        <x:v>https://www.racedayquads.com/products/radiomaster-pocket-edgetx-rc-transmitter-choose-version</x:v>
      </x:c>
      <x:c r="L12" s="66" t="str">
        <x:v>Ground equipment; reusable across aircraft.</x:v>
      </x:c>
    </x:row>
    <x:row r="13">
      <x:c r="A13" s="65" t="str">
        <x:v>Analog FPV camera</x:v>
      </x:c>
      <x:c r="B13" s="51" t="str">
        <x:v>Caddx Ratel 2</x:v>
      </x:c>
      <x:c r="C13" s="51" t="n">
        <x:v>1</x:v>
      </x:c>
      <x:c r="D13" s="52" t="n">
        <x:v>37.5</x:v>
      </x:c>
      <x:c r="E13" s="52" t="n">
        <x:f>IF(J13="Yes",C13*D13,0)</x:f>
        <x:v>37.5</x:v>
      </x:c>
      <x:c r="F13" s="53" t="n">
        <x:v>9</x:v>
      </x:c>
      <x:c r="G13" s="53" t="n">
        <x:f>IF(AND(J13="Yes",I13="Yes"),C13*F13,0)</x:f>
        <x:v>9</x:v>
      </x:c>
      <x:c r="H13" s="51" t="str">
        <x:v>Planned</x:v>
      </x:c>
      <x:c r="I13" s="51" t="str">
        <x:v>Yes</x:v>
      </x:c>
      <x:c r="J13" s="51" t="str">
        <x:v>Yes</x:v>
      </x:c>
      <x:c r="K13" s="51" t="str">
        <x:v>https://www.racedayquads.com/products/caddx-ratel-2-1200tvl-16-9-4-3-ntsc-pal-micro-fpv-camera</x:v>
      </x:c>
      <x:c r="L13" s="66" t="str">
        <x:v>Fixed forward pilot/orientation camera.</x:v>
      </x:c>
    </x:row>
    <x:row r="14">
      <x:c r="A14" s="65" t="str">
        <x:v>5.8GHz analog VTX</x:v>
      </x:c>
      <x:c r="B14" s="51" t="str">
        <x:v>400-800mW analog VTX</x:v>
      </x:c>
      <x:c r="C14" s="51" t="n">
        <x:v>1</x:v>
      </x:c>
      <x:c r="D14" s="52" t="n">
        <x:v>30</x:v>
      </x:c>
      <x:c r="E14" s="52" t="n">
        <x:f>IF(J14="Yes",C14*D14,0)</x:f>
        <x:v>30</x:v>
      </x:c>
      <x:c r="F14" s="53" t="n">
        <x:v>10</x:v>
      </x:c>
      <x:c r="G14" s="53" t="n">
        <x:f>IF(AND(J14="Yes",I14="Yes"),C14*F14,0)</x:f>
        <x:v>10</x:v>
      </x:c>
      <x:c r="H14" s="51" t="str">
        <x:v>Planned</x:v>
      </x:c>
      <x:c r="I14" s="51" t="str">
        <x:v>Yes</x:v>
      </x:c>
      <x:c r="J14" s="51" t="str">
        <x:v>Yes</x:v>
      </x:c>
      <x:c r="K14" s="51" t="str">
        <x:v>https://www.racedayquads.com/collections/video-transmitters</x:v>
      </x:c>
      <x:c r="L14" s="66" t="str">
        <x:v>Run low power on the bench. Always attach antenna before transmitting.</x:v>
      </x:c>
    </x:row>
    <x:row r="15">
      <x:c r="A15" s="65" t="str">
        <x:v>VTX antenna</x:v>
      </x:c>
      <x:c r="B15" s="51" t="str">
        <x:v>5.8GHz RHCP antenna</x:v>
      </x:c>
      <x:c r="C15" s="51" t="n">
        <x:v>1</x:v>
      </x:c>
      <x:c r="D15" s="52" t="n">
        <x:v>15</x:v>
      </x:c>
      <x:c r="E15" s="52" t="n">
        <x:f>IF(J15="Yes",C15*D15,0)</x:f>
        <x:v>15</x:v>
      </x:c>
      <x:c r="F15" s="53" t="n">
        <x:v>6</x:v>
      </x:c>
      <x:c r="G15" s="53" t="n">
        <x:f>IF(AND(J15="Yes",I15="Yes"),C15*F15,0)</x:f>
        <x:v>6</x:v>
      </x:c>
      <x:c r="H15" s="51" t="str">
        <x:v>Planned</x:v>
      </x:c>
      <x:c r="I15" s="51" t="str">
        <x:v>Yes</x:v>
      </x:c>
      <x:c r="J15" s="51" t="str">
        <x:v>Yes</x:v>
      </x:c>
      <x:c r="K15" s="51" t="str">
        <x:v>https://www.racedayquads.com/collections/fpv-antennas</x:v>
      </x:c>
      <x:c r="L15" s="66" t="str">
        <x:v>Match RHCP/LHCP polarization with goggles/receiver.</x:v>
      </x:c>
    </x:row>
    <x:row r="16">
      <x:c r="A16" s="65" t="str">
        <x:v>FPV goggles</x:v>
      </x:c>
      <x:c r="B16" s="51" t="str">
        <x:v>Analog 5.8GHz goggles</x:v>
      </x:c>
      <x:c r="C16" s="51" t="n">
        <x:v>1</x:v>
      </x:c>
      <x:c r="D16" s="52" t="n">
        <x:v>100</x:v>
      </x:c>
      <x:c r="E16" s="52" t="n">
        <x:f>IF(J16="Yes",C16*D16,0)</x:f>
        <x:v>100</x:v>
      </x:c>
      <x:c r="F16" s="53" t="n">
        <x:v>0</x:v>
      </x:c>
      <x:c r="G16" s="53" t="n">
        <x:f>IF(AND(J16="Yes",I16="Yes"),C16*F16,0)</x:f>
        <x:v>0</x:v>
      </x:c>
      <x:c r="H16" s="51" t="str">
        <x:v>Planned</x:v>
      </x:c>
      <x:c r="I16" s="51" t="str">
        <x:v>No</x:v>
      </x:c>
      <x:c r="J16" s="51" t="str">
        <x:v>Yes</x:v>
      </x:c>
      <x:c r="K16" s="51" t="str">
        <x:v>https://www.racedayquads.com/collections/fpv-goggles</x:v>
      </x:c>
      <x:c r="L16" s="66" t="str">
        <x:v>Pilot view; ground equipment.</x:v>
      </x:c>
    </x:row>
    <x:row r="17">
      <x:c r="A17" s="65" t="str">
        <x:v>Gateway video receiver + USB capture</x:v>
      </x:c>
      <x:c r="B17" s="51" t="str">
        <x:v>5.8GHz receiver + UVC capture</x:v>
      </x:c>
      <x:c r="C17" s="51" t="n">
        <x:v>1</x:v>
      </x:c>
      <x:c r="D17" s="52" t="n">
        <x:v>85</x:v>
      </x:c>
      <x:c r="E17" s="52" t="n">
        <x:f>IF(J17="Yes",C17*D17,0)</x:f>
        <x:v>85</x:v>
      </x:c>
      <x:c r="F17" s="53" t="n">
        <x:v>0</x:v>
      </x:c>
      <x:c r="G17" s="53" t="n">
        <x:f>IF(AND(J17="Yes",I17="Yes"),C17*F17,0)</x:f>
        <x:v>0</x:v>
      </x:c>
      <x:c r="H17" s="51" t="str">
        <x:v>Planned</x:v>
      </x:c>
      <x:c r="I17" s="51" t="str">
        <x:v>No</x:v>
      </x:c>
      <x:c r="J17" s="51" t="str">
        <x:v>Yes</x:v>
      </x:c>
      <x:c r="K17" s="51" t="str">
        <x:v>https://www.amazon.com/s?k=5.8ghz+fpv+receiver+usb+capture</x:v>
      </x:c>
      <x:c r="L17" s="66" t="str">
        <x:v>Optional if DroneOps should ingest/display the same analog FPV feed.</x:v>
      </x:c>
    </x:row>
    <x:row r="18">
      <x:c r="A18" s="65" t="str">
        <x:v>Flight battery</x:v>
      </x:c>
      <x:c r="B18" s="51" t="str">
        <x:v>6S 1300mAh LiPo</x:v>
      </x:c>
      <x:c r="C18" s="51" t="n">
        <x:v>1</x:v>
      </x:c>
      <x:c r="D18" s="52" t="n">
        <x:v>30</x:v>
      </x:c>
      <x:c r="E18" s="52" t="n">
        <x:f>IF(J18="Yes",C18*D18,0)</x:f>
        <x:v>30</x:v>
      </x:c>
      <x:c r="F18" s="53" t="n">
        <x:v>220</x:v>
      </x:c>
      <x:c r="G18" s="53" t="n">
        <x:f>IF(AND(J18="Yes",I18="Yes"),C18*F18,0)</x:f>
        <x:v>220</x:v>
      </x:c>
      <x:c r="H18" s="51" t="str">
        <x:v>Planned</x:v>
      </x:c>
      <x:c r="I18" s="51" t="str">
        <x:v>Yes</x:v>
      </x:c>
      <x:c r="J18" s="51" t="str">
        <x:v>Yes</x:v>
      </x:c>
      <x:c r="K18" s="51" t="str">
        <x:v>https://www.racedayquads.com/collections/6s-lipo-batteries</x:v>
      </x:c>
      <x:c r="L18" s="66" t="str">
        <x:v>Typical 5-inch pack. 7-inch build would likely use a larger pack.</x:v>
      </x:c>
    </x:row>
    <x:row r="19">
      <x:c r="A19" s="65" t="str">
        <x:v>Buzzer / lost model finder</x:v>
      </x:c>
      <x:c r="B19" s="51" t="str">
        <x:v>VIFLY Finder-class buzzer</x:v>
      </x:c>
      <x:c r="C19" s="51" t="n">
        <x:v>1</x:v>
      </x:c>
      <x:c r="D19" s="52" t="n">
        <x:v>18</x:v>
      </x:c>
      <x:c r="E19" s="52" t="n">
        <x:f>IF(J19="Yes",C19*D19,0)</x:f>
        <x:v>18</x:v>
      </x:c>
      <x:c r="F19" s="53" t="n">
        <x:v>5</x:v>
      </x:c>
      <x:c r="G19" s="53" t="n">
        <x:f>IF(AND(J19="Yes",I19="Yes"),C19*F19,0)</x:f>
        <x:v>5</x:v>
      </x:c>
      <x:c r="H19" s="51" t="str">
        <x:v>Planned</x:v>
      </x:c>
      <x:c r="I19" s="51" t="str">
        <x:v>Yes</x:v>
      </x:c>
      <x:c r="J19" s="51" t="str">
        <x:v>Yes</x:v>
      </x:c>
      <x:c r="K19" s="51" t="str">
        <x:v>https://www.racedayquads.com/collections/vifly-products</x:v>
      </x:c>
      <x:c r="L19" s="66" t="str">
        <x:v>Useful for recovery and bench diagnostics.</x:v>
      </x:c>
    </x:row>
    <x:row r="20">
      <x:c r="A20" s="65" t="str">
        <x:v>Remote ID module</x:v>
      </x:c>
      <x:c r="B20" s="51" t="str">
        <x:v>FAA-compliant broadcast module</x:v>
      </x:c>
      <x:c r="C20" s="51" t="n">
        <x:v>1</x:v>
      </x:c>
      <x:c r="D20" s="52" t="n">
        <x:v>40</x:v>
      </x:c>
      <x:c r="E20" s="52" t="n">
        <x:f>IF(J20="Yes",C20*D20,0)</x:f>
        <x:v>40</x:v>
      </x:c>
      <x:c r="F20" s="53" t="n">
        <x:v>15</x:v>
      </x:c>
      <x:c r="G20" s="53" t="n">
        <x:f>IF(AND(J20="Yes",I20="Yes"),C20*F20,0)</x:f>
        <x:v>15</x:v>
      </x:c>
      <x:c r="H20" s="51" t="str">
        <x:v>Planned</x:v>
      </x:c>
      <x:c r="I20" s="51" t="str">
        <x:v>Yes</x:v>
      </x:c>
      <x:c r="J20" s="51" t="str">
        <x:v>Yes</x:v>
      </x:c>
      <x:c r="K20" s="51" t="str">
        <x:v>https://www.faa.gov/uas/getting_started/remote_id</x:v>
      </x:c>
      <x:c r="L20" s="66" t="str">
        <x:v>Exact module TBD. Include for normal registered-aircraft operation outside a FRIA.</x:v>
      </x:c>
    </x:row>
    <x:row r="21">
      <x:c r="A21" s="65" t="str">
        <x:v>Power lead / capacitor / wiring / mounts</x:v>
      </x:c>
      <x:c r="B21" s="51" t="str">
        <x:v>XT60, low-ESR cap, silicone wire, hardware</x:v>
      </x:c>
      <x:c r="C21" s="51" t="n">
        <x:v>1</x:v>
      </x:c>
      <x:c r="D21" s="52" t="n">
        <x:v>30</x:v>
      </x:c>
      <x:c r="E21" s="52" t="n">
        <x:f>IF(J21="Yes",C21*D21,0)</x:f>
        <x:v>30</x:v>
      </x:c>
      <x:c r="F21" s="53" t="n">
        <x:v>35</x:v>
      </x:c>
      <x:c r="G21" s="53" t="n">
        <x:f>IF(AND(J21="Yes",I21="Yes"),C21*F21,0)</x:f>
        <x:v>35</x:v>
      </x:c>
      <x:c r="H21" s="51" t="str">
        <x:v>Planned</x:v>
      </x:c>
      <x:c r="I21" s="51" t="str">
        <x:v>Yes</x:v>
      </x:c>
      <x:c r="J21" s="51" t="str">
        <x:v>Yes</x:v>
      </x:c>
      <x:c r="K21" s="51" t="str">
        <x:v>https://www.racedayquads.com/collections/wire-connectors</x:v>
      </x:c>
      <x:c r="L21" s="66" t="str">
        <x:v>Engineering allowance.</x:v>
      </x:c>
    </x:row>
    <x:row r="22">
      <x:c r="A22" s="67" t="str">
        <x:v>7-inch upgrade allowance</x:v>
      </x:c>
      <x:c r="B22" s="68" t="str">
        <x:v>7-inch frame + larger motors/props/battery delta</x:v>
      </x:c>
      <x:c r="C22" s="68" t="n">
        <x:v>1</x:v>
      </x:c>
      <x:c r="D22" s="69" t="n">
        <x:v>140</x:v>
      </x:c>
      <x:c r="E22" s="69" t="n">
        <x:f>IF(J22="Yes",C22*D22,0)</x:f>
        <x:v>0</x:v>
      </x:c>
      <x:c r="F22" s="70" t="n">
        <x:v>250</x:v>
      </x:c>
      <x:c r="G22" s="70" t="n">
        <x:f>IF(AND(J22="Yes",I22="Yes"),C22*F22,0)</x:f>
        <x:v>0</x:v>
      </x:c>
      <x:c r="H22" s="68" t="str">
        <x:v>Alternative</x:v>
      </x:c>
      <x:c r="I22" s="68" t="str">
        <x:v>Yes</x:v>
      </x:c>
      <x:c r="J22" s="68" t="str">
        <x:v>No</x:v>
      </x:c>
      <x:c r="K22" s="68" t="str">
        <x:v>https://www.racedayquads.com/collections/7-frames</x:v>
      </x:c>
      <x:c r="L22" s="71" t="str">
        <x:v>Not included in baseline totals. Use if you decide the smaller aircraft should be 7-inch.</x:v>
      </x:c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</x:row>
    <x:row r="24">
      <x:c r="A24" s="54" t="str">
        <x:v>TOTAL — INCLUDED ROWS</x:v>
      </x:c>
      <x:c r="B24" s="54"/>
      <x:c r="C24" s="54"/>
      <x:c r="D24" s="54"/>
      <x:c r="E24" s="52" t="n">
        <x:f>SUM(E5:E22)</x:f>
        <x:v>786.5</x:v>
      </x:c>
      <x:c r="F24" s="51"/>
      <x:c r="G24" s="55" t="n">
        <x:f>SUM(G5:G22)</x:f>
        <x:v>613.2</x:v>
      </x:c>
      <x:c r="H24" s="51"/>
      <x:c r="I24" s="51"/>
      <x:c r="J24" s="51"/>
      <x:c r="K24" s="51"/>
      <x:c r="L24" s="51"/>
    </x:row>
  </x:sheetData>
  <x:mergeCells>
    <x:mergeCell ref="A1:L1"/>
    <x:mergeCell ref="A2:L2"/>
    <x:mergeCell ref="A24:D24"/>
  </x:mergeCells>
  <x:conditionalFormatting sqref="H5:H22">
    <x:cfRule type="expression" dxfId="0" priority="1">
      <x:formula>H5="Purchased"</x:formula>
    </x:cfRule>
    <x:cfRule type="expression" dxfId="1" priority="2">
      <x:formula>H5="Optional"</x:formula>
    </x:cfRule>
    <x:cfRule type="expression" dxfId="2" priority="3">
      <x:formula>H5="Alternative"</x:formula>
    </x:cfRule>
  </x:conditionalFormatting>
  <x:dataValidations count="2">
    <x:dataValidation type="list" sqref="H5:H22">
      <x:formula1>"Purchased,Planned,Optional,Alternative"</x:formula1>
    </x:dataValidation>
    <x:dataValidation type="list" sqref="I5:J22">
      <x:formula1>"Yes,No"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7" hidden="0" customWidth="1"/>
    <x:col min="4" max="4" width="13" hidden="0" customWidth="1"/>
    <x:col min="5" max="5" width="14" hidden="0" customWidth="1"/>
    <x:col min="6" max="6" width="12" hidden="0" customWidth="1"/>
    <x:col min="7" max="7" width="14" hidden="0" customWidth="1"/>
    <x:col min="8" max="8" width="12" hidden="0" customWidth="1"/>
    <x:col min="9" max="9" width="10" hidden="0" customWidth="1"/>
    <x:col min="10" max="10" width="10" hidden="0" customWidth="1"/>
    <x:col min="11" max="11" width="36" hidden="0" customWidth="1"/>
    <x:col min="12" max="12" width="48" hidden="0" customWidth="1"/>
  </x:cols>
  <x:sheetData>
    <x:row r="1" ht="28" customHeight="1">
      <x:c r="A1" s="5" t="str">
        <x:v>Large 600–650 mm SIYI Utility Quad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8" customHeight="1">
      <x:c r="A2" s="12" t="str">
        <x:v>Base build includes Pixhawk 6C + MK32 + ZR10 + AI + fixed forward camera. Mid-360/companion-compute rows are Phase 2 optional items. Propulsion and battery values are preliminary until final AUW/thrust sizing is completed.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>
      <x:c r="A4" s="62" t="str">
        <x:v>Component</x:v>
      </x:c>
      <x:c r="B4" s="63" t="str">
        <x:v>Model / Example</x:v>
      </x:c>
      <x:c r="C4" s="63" t="str">
        <x:v>Qty</x:v>
      </x:c>
      <x:c r="D4" s="63" t="str">
        <x:v>Est. Unit Cost</x:v>
      </x:c>
      <x:c r="E4" s="63" t="str">
        <x:v>Est. Total Cost</x:v>
      </x:c>
      <x:c r="F4" s="63" t="str">
        <x:v>Unit Wt (g)</x:v>
      </x:c>
      <x:c r="G4" s="63" t="str">
        <x:v>Airborne Wt (g)</x:v>
      </x:c>
      <x:c r="H4" s="63" t="str">
        <x:v>Status</x:v>
      </x:c>
      <x:c r="I4" s="63" t="str">
        <x:v>Airborne?</x:v>
      </x:c>
      <x:c r="J4" s="63" t="str">
        <x:v>Include?</x:v>
      </x:c>
      <x:c r="K4" s="63" t="str">
        <x:v>Source</x:v>
      </x:c>
      <x:c r="L4" s="64" t="str">
        <x:v>Notes</x:v>
      </x:c>
    </x:row>
    <x:row r="5">
      <x:c r="A5" s="65" t="str">
        <x:v>Flight controller</x:v>
      </x:c>
      <x:c r="B5" s="51" t="str">
        <x:v>Holybro Pixhawk 6C</x:v>
      </x:c>
      <x:c r="C5" s="51" t="n">
        <x:v>1</x:v>
      </x:c>
      <x:c r="D5" s="52" t="n">
        <x:v>220</x:v>
      </x:c>
      <x:c r="E5" s="52" t="n">
        <x:f>IF(J5="Yes",C5*D5,0)</x:f>
        <x:v>220</x:v>
      </x:c>
      <x:c r="F5" s="53" t="n">
        <x:v>59.3</x:v>
      </x:c>
      <x:c r="G5" s="53" t="n">
        <x:f>IF(AND(J5="Yes",I5="Yes"),C5*F5,0)</x:f>
        <x:v>59.3</x:v>
      </x:c>
      <x:c r="H5" s="51" t="str">
        <x:v>Purchased</x:v>
      </x:c>
      <x:c r="I5" s="51" t="str">
        <x:v>Yes</x:v>
      </x:c>
      <x:c r="J5" s="51" t="str">
        <x:v>Yes</x:v>
      </x:c>
      <x:c r="K5" s="51" t="str">
        <x:v>https://holybro.com/products/pixhawk-6c</x:v>
      </x:c>
      <x:c r="L5" s="66" t="str">
        <x:v>Weight assumes aluminum case; plastic case is lighter (~34.6 g).</x:v>
      </x:c>
    </x:row>
    <x:row r="6">
      <x:c r="A6" s="65" t="str">
        <x:v>Power module</x:v>
      </x:c>
      <x:c r="B6" s="51" t="str">
        <x:v>Pixhawk-compatible PM02/PM06-class module</x:v>
      </x:c>
      <x:c r="C6" s="51" t="n">
        <x:v>1</x:v>
      </x:c>
      <x:c r="D6" s="52" t="n">
        <x:v>45</x:v>
      </x:c>
      <x:c r="E6" s="52" t="n">
        <x:f>IF(J6="Yes",C6*D6,0)</x:f>
        <x:v>45</x:v>
      </x:c>
      <x:c r="F6" s="53" t="n">
        <x:v>35</x:v>
      </x:c>
      <x:c r="G6" s="53" t="n">
        <x:f>IF(AND(J6="Yes",I6="Yes"),C6*F6,0)</x:f>
        <x:v>35</x:v>
      </x:c>
      <x:c r="H6" s="51" t="str">
        <x:v>Planned</x:v>
      </x:c>
      <x:c r="I6" s="51" t="str">
        <x:v>Yes</x:v>
      </x:c>
      <x:c r="J6" s="51" t="str">
        <x:v>Yes</x:v>
      </x:c>
      <x:c r="K6" s="51" t="str">
        <x:v>https://holybro.com/products/pixhawk-6c</x:v>
      </x:c>
      <x:c r="L6" s="66" t="str">
        <x:v>Needed for regulated FC power and battery voltage/current telemetry unless bundled.</x:v>
      </x:c>
    </x:row>
    <x:row r="7">
      <x:c r="A7" s="65" t="str">
        <x:v>Frame</x:v>
      </x:c>
      <x:c r="B7" s="51" t="str">
        <x:v>600-650mm carbon utility quad frame</x:v>
      </x:c>
      <x:c r="C7" s="51" t="n">
        <x:v>1</x:v>
      </x:c>
      <x:c r="D7" s="52" t="n">
        <x:v>175</x:v>
      </x:c>
      <x:c r="E7" s="52" t="n">
        <x:f>IF(J7="Yes",C7*D7,0)</x:f>
        <x:v>175</x:v>
      </x:c>
      <x:c r="F7" s="53" t="n">
        <x:v>650</x:v>
      </x:c>
      <x:c r="G7" s="53" t="n">
        <x:f>IF(AND(J7="Yes",I7="Yes"),C7*F7,0)</x:f>
        <x:v>650</x:v>
      </x:c>
      <x:c r="H7" s="51" t="str">
        <x:v>Planned</x:v>
      </x:c>
      <x:c r="I7" s="51" t="str">
        <x:v>Yes</x:v>
      </x:c>
      <x:c r="J7" s="51" t="str">
        <x:v>Yes</x:v>
      </x:c>
      <x:c r="K7" s="51" t="str">
        <x:v>https://www.robotshop.com/collections/drone-frames</x:v>
      </x:c>
      <x:c r="L7" s="66" t="str">
        <x:v>650mm is preferred for ZR10 + AI + future LiDAR/companion compute.</x:v>
      </x:c>
    </x:row>
    <x:row r="8">
      <x:c r="A8" s="65" t="str">
        <x:v>Motors</x:v>
      </x:c>
      <x:c r="B8" s="51" t="str">
        <x:v>4114-class ~320-400KV motors</x:v>
      </x:c>
      <x:c r="C8" s="51" t="n">
        <x:v>4</x:v>
      </x:c>
      <x:c r="D8" s="52" t="n">
        <x:v>55</x:v>
      </x:c>
      <x:c r="E8" s="52" t="n">
        <x:f>IF(J8="Yes",C8*D8,0)</x:f>
        <x:v>220</x:v>
      </x:c>
      <x:c r="F8" s="53" t="n">
        <x:v>180</x:v>
      </x:c>
      <x:c r="G8" s="53" t="n">
        <x:f>IF(AND(J8="Yes",I8="Yes"),C8*F8,0)</x:f>
        <x:v>720</x:v>
      </x:c>
      <x:c r="H8" s="51" t="str">
        <x:v>Planned</x:v>
      </x:c>
      <x:c r="I8" s="51" t="str">
        <x:v>Yes</x:v>
      </x:c>
      <x:c r="J8" s="51" t="str">
        <x:v>Yes</x:v>
      </x:c>
      <x:c r="K8" s="51" t="str">
        <x:v>https://www.getfpv.com/motors.html</x:v>
      </x:c>
      <x:c r="L8" s="66" t="str">
        <x:v>Preliminary sizing only; final KV/prop must be selected from final AUW and thrust tables.</x:v>
      </x:c>
    </x:row>
    <x:row r="9">
      <x:c r="A9" s="65" t="str">
        <x:v>ESCs</x:v>
      </x:c>
      <x:c r="B9" s="51" t="str">
        <x:v>50-60A 6S individual ESCs</x:v>
      </x:c>
      <x:c r="C9" s="51" t="n">
        <x:v>4</x:v>
      </x:c>
      <x:c r="D9" s="52" t="n">
        <x:v>35</x:v>
      </x:c>
      <x:c r="E9" s="52" t="n">
        <x:f>IF(J9="Yes",C9*D9,0)</x:f>
        <x:v>140</x:v>
      </x:c>
      <x:c r="F9" s="53" t="n">
        <x:v>45</x:v>
      </x:c>
      <x:c r="G9" s="53" t="n">
        <x:f>IF(AND(J9="Yes",I9="Yes"),C9*F9,0)</x:f>
        <x:v>180</x:v>
      </x:c>
      <x:c r="H9" s="51" t="str">
        <x:v>Planned</x:v>
      </x:c>
      <x:c r="I9" s="51" t="str">
        <x:v>Yes</x:v>
      </x:c>
      <x:c r="J9" s="51" t="str">
        <x:v>Yes</x:v>
      </x:c>
      <x:c r="K9" s="51" t="str">
        <x:v>https://www.getfpv.com/electronics/electronic-speed-controllers-escs.html</x:v>
      </x:c>
      <x:c r="L9" s="66" t="str">
        <x:v>Individual ESCs are easier to cool/service on a utility frame.</x:v>
      </x:c>
    </x:row>
    <x:row r="10">
      <x:c r="A10" s="65" t="str">
        <x:v>Propellers</x:v>
      </x:c>
      <x:c r="B10" s="51" t="str">
        <x:v>15-inch carbon/composite props</x:v>
      </x:c>
      <x:c r="C10" s="51" t="n">
        <x:v>4</x:v>
      </x:c>
      <x:c r="D10" s="52" t="n">
        <x:v>8</x:v>
      </x:c>
      <x:c r="E10" s="52" t="n">
        <x:f>IF(J10="Yes",C10*D10,0)</x:f>
        <x:v>32</x:v>
      </x:c>
      <x:c r="F10" s="53" t="n">
        <x:v>30</x:v>
      </x:c>
      <x:c r="G10" s="53" t="n">
        <x:f>IF(AND(J10="Yes",I10="Yes"),C10*F10,0)</x:f>
        <x:v>120</x:v>
      </x:c>
      <x:c r="H10" s="51" t="str">
        <x:v>Planned</x:v>
      </x:c>
      <x:c r="I10" s="51" t="str">
        <x:v>Yes</x:v>
      </x:c>
      <x:c r="J10" s="51" t="str">
        <x:v>Yes</x:v>
      </x:c>
      <x:c r="K10" s="51" t="str">
        <x:v>https://www.getfpv.com/propellers.html</x:v>
      </x:c>
      <x:c r="L10" s="66" t="str">
        <x:v>13-15 inch likely; exact size follows propulsion sizing.</x:v>
      </x:c>
    </x:row>
    <x:row r="11">
      <x:c r="A11" s="65" t="str">
        <x:v>GPS + compass</x:v>
      </x:c>
      <x:c r="B11" s="51" t="str">
        <x:v>M10 GNSS + external compass</x:v>
      </x:c>
      <x:c r="C11" s="51" t="n">
        <x:v>1</x:v>
      </x:c>
      <x:c r="D11" s="52" t="n">
        <x:v>70</x:v>
      </x:c>
      <x:c r="E11" s="52" t="n">
        <x:f>IF(J11="Yes",C11*D11,0)</x:f>
        <x:v>70</x:v>
      </x:c>
      <x:c r="F11" s="53" t="n">
        <x:v>35</x:v>
      </x:c>
      <x:c r="G11" s="53" t="n">
        <x:f>IF(AND(J11="Yes",I11="Yes"),C11*F11,0)</x:f>
        <x:v>35</x:v>
      </x:c>
      <x:c r="H11" s="51" t="str">
        <x:v>Planned</x:v>
      </x:c>
      <x:c r="I11" s="51" t="str">
        <x:v>Yes</x:v>
      </x:c>
      <x:c r="J11" s="51" t="str">
        <x:v>Yes</x:v>
      </x:c>
      <x:c r="K11" s="51" t="str">
        <x:v>https://holybro.com/collections/gps-rtk-systems</x:v>
      </x:c>
      <x:c r="L11" s="66" t="str">
        <x:v>RTK intentionally deferred for the first flying build.</x:v>
      </x:c>
    </x:row>
    <x:row r="12">
      <x:c r="A12" s="65" t="str">
        <x:v>SIYI MK32 system</x:v>
      </x:c>
      <x:c r="B12" s="51" t="str">
        <x:v>MK32 handheld + compatible air unit</x:v>
      </x:c>
      <x:c r="C12" s="51" t="n">
        <x:v>1</x:v>
      </x:c>
      <x:c r="D12" s="52" t="n">
        <x:v>556.33</x:v>
      </x:c>
      <x:c r="E12" s="52" t="n">
        <x:f>IF(J12="Yes",C12*D12,0)</x:f>
        <x:v>556.33</x:v>
      </x:c>
      <x:c r="F12" s="53" t="n">
        <x:v>74</x:v>
      </x:c>
      <x:c r="G12" s="53" t="n">
        <x:f>IF(AND(J12="Yes",I12="Yes"),C12*F12,0)</x:f>
        <x:v>74</x:v>
      </x:c>
      <x:c r="H12" s="51" t="str">
        <x:v>Planned</x:v>
      </x:c>
      <x:c r="I12" s="51" t="str">
        <x:v>Yes</x:v>
      </x:c>
      <x:c r="J12" s="51" t="str">
        <x:v>Yes</x:v>
      </x:c>
      <x:c r="K12" s="51" t="str">
        <x:v>https://shop.siyi.biz/products/mk32-handheld-ground-station-smart-controller</x:v>
      </x:c>
      <x:c r="L12" s="66" t="str">
        <x:v>Cost includes ground controller; airborne weight counts only the ~74 g air unit.</x:v>
      </x:c>
    </x:row>
    <x:row r="13">
      <x:c r="A13" s="65" t="str">
        <x:v>SIYI ZR10 gimbal camera</x:v>
      </x:c>
      <x:c r="B13" s="51" t="str">
        <x:v>ZR10 2K / 10x optical zoom</x:v>
      </x:c>
      <x:c r="C13" s="51" t="n">
        <x:v>1</x:v>
      </x:c>
      <x:c r="D13" s="52" t="n">
        <x:v>541.29</x:v>
      </x:c>
      <x:c r="E13" s="52" t="n">
        <x:f>IF(J13="Yes",C13*D13,0)</x:f>
        <x:v>541.29</x:v>
      </x:c>
      <x:c r="F13" s="53" t="n">
        <x:v>381</x:v>
      </x:c>
      <x:c r="G13" s="53" t="n">
        <x:f>IF(AND(J13="Yes",I13="Yes"),C13*F13,0)</x:f>
        <x:v>381</x:v>
      </x:c>
      <x:c r="H13" s="51" t="str">
        <x:v>Planned</x:v>
      </x:c>
      <x:c r="I13" s="51" t="str">
        <x:v>Yes</x:v>
      </x:c>
      <x:c r="J13" s="51" t="str">
        <x:v>Yes</x:v>
      </x:c>
      <x:c r="K13" s="51" t="str">
        <x:v>https://shop.siyi.biz/products/siyi-zr10-2k-4mp-qhd-30x-hybrid-10x-optical-zoom-gimbal-camera</x:v>
      </x:c>
      <x:c r="L13" s="66" t="str">
        <x:v>Primary mission camera. 381 g and notably heavier than A8.</x:v>
      </x:c>
    </x:row>
    <x:row r="14">
      <x:c r="A14" s="65" t="str">
        <x:v>SIYI AI Tracking Module II</x:v>
      </x:c>
      <x:c r="B14" s="51" t="str">
        <x:v>10 TOPS AI tracking module</x:v>
      </x:c>
      <x:c r="C14" s="51" t="n">
        <x:v>1</x:v>
      </x:c>
      <x:c r="D14" s="52" t="n">
        <x:v>375.85</x:v>
      </x:c>
      <x:c r="E14" s="52" t="n">
        <x:f>IF(J14="Yes",C14*D14,0)</x:f>
        <x:v>375.85</x:v>
      </x:c>
      <x:c r="F14" s="53" t="n">
        <x:v>88</x:v>
      </x:c>
      <x:c r="G14" s="53" t="n">
        <x:f>IF(AND(J14="Yes",I14="Yes"),C14*F14,0)</x:f>
        <x:v>88</x:v>
      </x:c>
      <x:c r="H14" s="51" t="str">
        <x:v>Planned</x:v>
      </x:c>
      <x:c r="I14" s="51" t="str">
        <x:v>Yes</x:v>
      </x:c>
      <x:c r="J14" s="51" t="str">
        <x:v>Yes</x:v>
      </x:c>
      <x:c r="K14" s="51" t="str">
        <x:v>https://shop.siyi.biz/products/siyi-ai-tracking-module-ii</x:v>
      </x:c>
      <x:c r="L14" s="66" t="str">
        <x:v>Compatible with ZR10 and A8 Mini.</x:v>
      </x:c>
    </x:row>
    <x:row r="15">
      <x:c r="A15" s="65" t="str">
        <x:v>Forward orientation camera</x:v>
      </x:c>
      <x:c r="B15" s="51" t="str">
        <x:v>SIYI industrial fixed FPV/IP camera</x:v>
      </x:c>
      <x:c r="C15" s="51" t="n">
        <x:v>1</x:v>
      </x:c>
      <x:c r="D15" s="52" t="n">
        <x:v>60</x:v>
      </x:c>
      <x:c r="E15" s="52" t="n">
        <x:f>IF(J15="Yes",C15*D15,0)</x:f>
        <x:v>60</x:v>
      </x:c>
      <x:c r="F15" s="53" t="n">
        <x:v>108</x:v>
      </x:c>
      <x:c r="G15" s="53" t="n">
        <x:f>IF(AND(J15="Yes",I15="Yes"),C15*F15,0)</x:f>
        <x:v>108</x:v>
      </x:c>
      <x:c r="H15" s="51" t="str">
        <x:v>Planned</x:v>
      </x:c>
      <x:c r="I15" s="51" t="str">
        <x:v>Yes</x:v>
      </x:c>
      <x:c r="J15" s="51" t="str">
        <x:v>Yes</x:v>
      </x:c>
      <x:c r="K15" s="51" t="str">
        <x:v>https://shop.siyi.biz/collections/all-products</x:v>
      </x:c>
      <x:c r="L15" s="66" t="str">
        <x:v>Dedicated fixed-forward view while the gimbal tracks/zooms elsewhere.</x:v>
      </x:c>
    </x:row>
    <x:row r="16">
      <x:c r="A16" s="65" t="str">
        <x:v>Power distribution / BECs / Ethernet hub</x:v>
      </x:c>
      <x:c r="B16" s="51" t="str">
        <x:v>PDB, regulated rails, SIYI Ethernet hub, wiring</x:v>
      </x:c>
      <x:c r="C16" s="51" t="n">
        <x:v>1</x:v>
      </x:c>
      <x:c r="D16" s="52" t="n">
        <x:v>120</x:v>
      </x:c>
      <x:c r="E16" s="52" t="n">
        <x:f>IF(J16="Yes",C16*D16,0)</x:f>
        <x:v>120</x:v>
      </x:c>
      <x:c r="F16" s="53" t="n">
        <x:v>180</x:v>
      </x:c>
      <x:c r="G16" s="53" t="n">
        <x:f>IF(AND(J16="Yes",I16="Yes"),C16*F16,0)</x:f>
        <x:v>180</x:v>
      </x:c>
      <x:c r="H16" s="51" t="str">
        <x:v>Planned</x:v>
      </x:c>
      <x:c r="I16" s="51" t="str">
        <x:v>Yes</x:v>
      </x:c>
      <x:c r="J16" s="51" t="str">
        <x:v>Yes</x:v>
      </x:c>
      <x:c r="K16" s="51" t="str">
        <x:v>https://shop.siyi.biz/products/siyi-ethernet-hub</x:v>
      </x:c>
      <x:c r="L16" s="66" t="str">
        <x:v>Allowance for safe regulated power and network distribution.</x:v>
      </x:c>
    </x:row>
    <x:row r="17">
      <x:c r="A17" s="65" t="str">
        <x:v>Landing gear / gimbal mount</x:v>
      </x:c>
      <x:c r="B17" s="51" t="str">
        <x:v>Tall landing gear + anti-vibration payload mount</x:v>
      </x:c>
      <x:c r="C17" s="51" t="n">
        <x:v>1</x:v>
      </x:c>
      <x:c r="D17" s="52" t="n">
        <x:v>60</x:v>
      </x:c>
      <x:c r="E17" s="52" t="n">
        <x:f>IF(J17="Yes",C17*D17,0)</x:f>
        <x:v>60</x:v>
      </x:c>
      <x:c r="F17" s="53" t="n">
        <x:v>220</x:v>
      </x:c>
      <x:c r="G17" s="53" t="n">
        <x:f>IF(AND(J17="Yes",I17="Yes"),C17*F17,0)</x:f>
        <x:v>220</x:v>
      </x:c>
      <x:c r="H17" s="51" t="str">
        <x:v>Planned</x:v>
      </x:c>
      <x:c r="I17" s="51" t="str">
        <x:v>Yes</x:v>
      </x:c>
      <x:c r="J17" s="51" t="str">
        <x:v>Yes</x:v>
      </x:c>
      <x:c r="K17" s="51" t="str">
        <x:v>https://www.robotshop.com/collections/drone-frames</x:v>
      </x:c>
      <x:c r="L17" s="66" t="str">
        <x:v>Keep ZR10 clear of props/ground and provide vibration isolation.</x:v>
      </x:c>
    </x:row>
    <x:row r="18">
      <x:c r="A18" s="65" t="str">
        <x:v>Remote ID module</x:v>
      </x:c>
      <x:c r="B18" s="51" t="str">
        <x:v>FAA-compliant broadcast module</x:v>
      </x:c>
      <x:c r="C18" s="51" t="n">
        <x:v>1</x:v>
      </x:c>
      <x:c r="D18" s="52" t="n">
        <x:v>40</x:v>
      </x:c>
      <x:c r="E18" s="52" t="n">
        <x:f>IF(J18="Yes",C18*D18,0)</x:f>
        <x:v>40</x:v>
      </x:c>
      <x:c r="F18" s="53" t="n">
        <x:v>15</x:v>
      </x:c>
      <x:c r="G18" s="53" t="n">
        <x:f>IF(AND(J18="Yes",I18="Yes"),C18*F18,0)</x:f>
        <x:v>15</x:v>
      </x:c>
      <x:c r="H18" s="51" t="str">
        <x:v>Planned</x:v>
      </x:c>
      <x:c r="I18" s="51" t="str">
        <x:v>Yes</x:v>
      </x:c>
      <x:c r="J18" s="51" t="str">
        <x:v>Yes</x:v>
      </x:c>
      <x:c r="K18" s="51" t="str">
        <x:v>https://www.faa.gov/uas/getting_started/remote_id</x:v>
      </x:c>
      <x:c r="L18" s="66" t="str">
        <x:v>Exact module TBD.</x:v>
      </x:c>
    </x:row>
    <x:row r="19">
      <x:c r="A19" s="65" t="str">
        <x:v>Main battery</x:v>
      </x:c>
      <x:c r="B19" s="51" t="str">
        <x:v>6S 10,000mAh LiPo</x:v>
      </x:c>
      <x:c r="C19" s="51" t="n">
        <x:v>1</x:v>
      </x:c>
      <x:c r="D19" s="52" t="n">
        <x:v>190</x:v>
      </x:c>
      <x:c r="E19" s="52" t="n">
        <x:f>IF(J19="Yes",C19*D19,0)</x:f>
        <x:v>190</x:v>
      </x:c>
      <x:c r="F19" s="53" t="n">
        <x:v>1450</x:v>
      </x:c>
      <x:c r="G19" s="53" t="n">
        <x:f>IF(AND(J19="Yes",I19="Yes"),C19*F19,0)</x:f>
        <x:v>1450</x:v>
      </x:c>
      <x:c r="H19" s="51" t="str">
        <x:v>Planned</x:v>
      </x:c>
      <x:c r="I19" s="51" t="str">
        <x:v>Yes</x:v>
      </x:c>
      <x:c r="J19" s="51" t="str">
        <x:v>Yes</x:v>
      </x:c>
      <x:c r="K19" s="51" t="str">
        <x:v>https://www.getfpv.com/batteries/mini-quad-batteries/6s-batteries.html</x:v>
      </x:c>
      <x:c r="L19" s="66" t="str">
        <x:v>Initial design target. Final capacity likely 8-12Ah; larger sensor fit may push toward 10-16Ah.</x:v>
      </x:c>
    </x:row>
    <x:row r="20">
      <x:c r="A20" s="65" t="str">
        <x:v>Misc. mounts / fasteners / shielding</x:v>
      </x:c>
      <x:c r="B20" s="51" t="str">
        <x:v>TPU mounts, vibration pads, antenna mounts, harnesses</x:v>
      </x:c>
      <x:c r="C20" s="51" t="n">
        <x:v>1</x:v>
      </x:c>
      <x:c r="D20" s="52" t="n">
        <x:v>75</x:v>
      </x:c>
      <x:c r="E20" s="52" t="n">
        <x:f>IF(J20="Yes",C20*D20,0)</x:f>
        <x:v>75</x:v>
      </x:c>
      <x:c r="F20" s="53" t="n">
        <x:v>150</x:v>
      </x:c>
      <x:c r="G20" s="53" t="n">
        <x:f>IF(AND(J20="Yes",I20="Yes"),C20*F20,0)</x:f>
        <x:v>150</x:v>
      </x:c>
      <x:c r="H20" s="51" t="str">
        <x:v>Planned</x:v>
      </x:c>
      <x:c r="I20" s="51" t="str">
        <x:v>Yes</x:v>
      </x:c>
      <x:c r="J20" s="51" t="str">
        <x:v>Yes</x:v>
      </x:c>
      <x:c r="K20" s="51" t="str"/>
      <x:c r="L20" s="66" t="str">
        <x:v>Engineering allowance.</x:v>
      </x:c>
    </x:row>
    <x:row r="21">
      <x:c r="A21" s="65" t="str">
        <x:v>Livox Mid-360</x:v>
      </x:c>
      <x:c r="B21" s="51" t="str">
        <x:v>360-degree 3D LiDAR</x:v>
      </x:c>
      <x:c r="C21" s="51" t="n">
        <x:v>1</x:v>
      </x:c>
      <x:c r="D21" s="52" t="n">
        <x:v>600</x:v>
      </x:c>
      <x:c r="E21" s="52" t="n">
        <x:f>IF(J21="Yes",C21*D21,0)</x:f>
        <x:v>600</x:v>
      </x:c>
      <x:c r="F21" s="53" t="n">
        <x:v>265</x:v>
      </x:c>
      <x:c r="G21" s="53" t="n">
        <x:f>IF(AND(J21="Yes",I21="Yes"),C21*F21,0)</x:f>
        <x:v>265</x:v>
      </x:c>
      <x:c r="H21" s="51" t="str">
        <x:v>Optional</x:v>
      </x:c>
      <x:c r="I21" s="51" t="str">
        <x:v>Yes</x:v>
      </x:c>
      <x:c r="J21" s="51" t="str">
        <x:v>Yes</x:v>
      </x:c>
      <x:c r="K21" s="51" t="str">
        <x:v>https://www.livoxtech.com/mid-360</x:v>
      </x:c>
      <x:c r="L21" s="66" t="str">
        <x:v>Phase 2. 200k points/s, 100BASE-TX Ethernet, ~6.5W.</x:v>
      </x:c>
    </x:row>
    <x:row r="22">
      <x:c r="A22" s="65" t="str">
        <x:v>Companion computer</x:v>
      </x:c>
      <x:c r="B22" s="51" t="str">
        <x:v>Jetson Orin Nano-class compact onboard computer</x:v>
      </x:c>
      <x:c r="C22" s="51" t="n">
        <x:v>1</x:v>
      </x:c>
      <x:c r="D22" s="52" t="n">
        <x:v>450</x:v>
      </x:c>
      <x:c r="E22" s="52" t="n">
        <x:f>IF(J22="Yes",C22*D22,0)</x:f>
        <x:v>450</x:v>
      </x:c>
      <x:c r="F22" s="53" t="n">
        <x:v>160</x:v>
      </x:c>
      <x:c r="G22" s="53" t="n">
        <x:f>IF(AND(J22="Yes",I22="Yes"),C22*F22,0)</x:f>
        <x:v>160</x:v>
      </x:c>
      <x:c r="H22" s="51" t="str">
        <x:v>Optional</x:v>
      </x:c>
      <x:c r="I22" s="51" t="str">
        <x:v>Yes</x:v>
      </x:c>
      <x:c r="J22" s="51" t="str">
        <x:v>Yes</x:v>
      </x:c>
      <x:c r="K22" s="51" t="str">
        <x:v>https://www.nvidia.com/en-us/autonomous-machines/embedded-systems/jetson-orin/nano-super-developer-kit/</x:v>
      </x:c>
      <x:c r="L22" s="66" t="str">
        <x:v>Phase 2. Final flight hardware should use a compact carrier rather than the full dev kit.</x:v>
      </x:c>
    </x:row>
    <x:row r="23">
      <x:c r="A23" s="65" t="str">
        <x:v>Companion DC power + cooling</x:v>
      </x:c>
      <x:c r="B23" s="51" t="str">
        <x:v>6S-to-regulated DC converter + heatsink/fan</x:v>
      </x:c>
      <x:c r="C23" s="51" t="n">
        <x:v>1</x:v>
      </x:c>
      <x:c r="D23" s="52" t="n">
        <x:v>60</x:v>
      </x:c>
      <x:c r="E23" s="52" t="n">
        <x:f>IF(J23="Yes",C23*D23,0)</x:f>
        <x:v>60</x:v>
      </x:c>
      <x:c r="F23" s="53" t="n">
        <x:v>90</x:v>
      </x:c>
      <x:c r="G23" s="53" t="n">
        <x:f>IF(AND(J23="Yes",I23="Yes"),C23*F23,0)</x:f>
        <x:v>90</x:v>
      </x:c>
      <x:c r="H23" s="51" t="str">
        <x:v>Optional</x:v>
      </x:c>
      <x:c r="I23" s="51" t="str">
        <x:v>Yes</x:v>
      </x:c>
      <x:c r="J23" s="51" t="str">
        <x:v>Yes</x:v>
      </x:c>
      <x:c r="K23" s="51" t="str"/>
      <x:c r="L23" s="66" t="str">
        <x:v>Required if companion computer is installed.</x:v>
      </x:c>
    </x:row>
    <x:row r="24">
      <x:c r="A24" s="65" t="str">
        <x:v>Onboard Ethernet switch / cabling</x:v>
      </x:c>
      <x:c r="B24" s="51" t="str">
        <x:v>Small 100/1000 Ethernet switch + cables</x:v>
      </x:c>
      <x:c r="C24" s="51" t="n">
        <x:v>1</x:v>
      </x:c>
      <x:c r="D24" s="52" t="n">
        <x:v>40</x:v>
      </x:c>
      <x:c r="E24" s="52" t="n">
        <x:f>IF(J24="Yes",C24*D24,0)</x:f>
        <x:v>40</x:v>
      </x:c>
      <x:c r="F24" s="53" t="n">
        <x:v>60</x:v>
      </x:c>
      <x:c r="G24" s="53" t="n">
        <x:f>IF(AND(J24="Yes",I24="Yes"),C24*F24,0)</x:f>
        <x:v>60</x:v>
      </x:c>
      <x:c r="H24" s="51" t="str">
        <x:v>Optional</x:v>
      </x:c>
      <x:c r="I24" s="51" t="str">
        <x:v>Yes</x:v>
      </x:c>
      <x:c r="J24" s="51" t="str">
        <x:v>Yes</x:v>
      </x:c>
      <x:c r="K24" s="51" t="str"/>
      <x:c r="L24" s="66" t="str">
        <x:v>Useful for Mid-360 + companion + SIYI IP payload integration.</x:v>
      </x:c>
    </x:row>
    <x:row r="25">
      <x:c r="A25" s="67" t="str">
        <x:v>A8 Mini substitution</x:v>
      </x:c>
      <x:c r="B25" s="68" t="str">
        <x:v>SIYI A8 Mini instead of ZR10</x:v>
      </x:c>
      <x:c r="C25" s="68" t="n">
        <x:v>1</x:v>
      </x:c>
      <x:c r="D25" s="69" t="n">
        <x:v>255.53</x:v>
      </x:c>
      <x:c r="E25" s="69" t="n">
        <x:f>IF(J25="Yes",C25*D25,0)</x:f>
        <x:v>0</x:v>
      </x:c>
      <x:c r="F25" s="70" t="n">
        <x:v>95</x:v>
      </x:c>
      <x:c r="G25" s="70" t="n">
        <x:f>IF(AND(J25="Yes",I25="Yes"),C25*F25,0)</x:f>
        <x:v>0</x:v>
      </x:c>
      <x:c r="H25" s="68" t="str">
        <x:v>Alternative</x:v>
      </x:c>
      <x:c r="I25" s="68" t="str">
        <x:v>Yes</x:v>
      </x:c>
      <x:c r="J25" s="68" t="str">
        <x:v>No</x:v>
      </x:c>
      <x:c r="K25" s="68" t="str">
        <x:v>https://shop.siyi.biz/collections/all-products</x:v>
      </x:c>
      <x:c r="L25" s="71" t="str">
        <x:v>Not included in totals. Saves ~286 g and ~$286 vs ZR10.</x:v>
      </x:c>
    </x:row>
    <x:row r="26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</x:row>
    <x:row r="27">
      <x:c r="A27" s="54" t="str">
        <x:v>TOTAL — INCLUDED ROWS</x:v>
      </x:c>
      <x:c r="B27" s="54"/>
      <x:c r="C27" s="54"/>
      <x:c r="D27" s="54"/>
      <x:c r="E27" s="52" t="n">
        <x:f>SUM(E5:E25)</x:f>
        <x:v>4070.47</x:v>
      </x:c>
      <x:c r="F27" s="51"/>
      <x:c r="G27" s="55" t="n">
        <x:f>SUM(G5:G25)</x:f>
        <x:v>5040.3</x:v>
      </x:c>
      <x:c r="H27" s="51"/>
      <x:c r="I27" s="51"/>
      <x:c r="J27" s="51"/>
      <x:c r="K27" s="51"/>
      <x:c r="L27" s="51"/>
    </x:row>
  </x:sheetData>
  <x:mergeCells>
    <x:mergeCell ref="A1:L1"/>
    <x:mergeCell ref="A2:L2"/>
    <x:mergeCell ref="A27:D27"/>
  </x:mergeCells>
  <x:conditionalFormatting sqref="H5:H25">
    <x:cfRule type="expression" dxfId="3" priority="1">
      <x:formula>H5="Purchased"</x:formula>
    </x:cfRule>
    <x:cfRule type="expression" dxfId="4" priority="2">
      <x:formula>H5="Optional"</x:formula>
    </x:cfRule>
    <x:cfRule type="expression" dxfId="5" priority="3">
      <x:formula>H5="Alternative"</x:formula>
    </x:cfRule>
  </x:conditionalFormatting>
  <x:dataValidations count="2">
    <x:dataValidation type="list" sqref="H5:H25">
      <x:formula1>"Purchased,Planned,Optional,Alternative"</x:formula1>
    </x:dataValidation>
    <x:dataValidation type="list" sqref="I5:J25">
      <x:formula1>"Yes,No"</x:formula1>
    </x:dataValidation>
  </x:dataValidations>
  <x:pageMargins left="0.7" right="0.7" top="0.75" bottom="0.75" header="0.3" footer="0.3"/>
</x:worksheet>
</file>